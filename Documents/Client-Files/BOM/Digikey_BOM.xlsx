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7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<sst xmlns="http://schemas.openxmlformats.org/spreadsheetml/2006/main" count="218" uniqueCount="145">
  <si>
    <t>Bill of Material (BOM) for Tim Sefton</t>
  </si>
  <si>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</si>
  <si>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</si>
  <si>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</si>
  <si>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</si>
  <si>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</si>
  <si>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</si>
  <si>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</si>
  <si>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>Alternate</t>
  </si>
  <si>
    <t>Value</t>
  </si>
  <si>
    <t>Quantity (Per Board)</t>
  </si>
  <si>
    <t>Quantity 5</t>
  </si>
  <si>
    <t>DigiKey Link</t>
  </si>
  <si>
    <t>Unit Cost(1)</t>
  </si>
  <si>
    <t>Total Cost(1)</t>
  </si>
  <si>
    <t>Unit Cost (5 Boards)</t>
  </si>
  <si>
    <t>Total Cost (5)</t>
  </si>
  <si>
    <t>Remarks</t>
  </si>
  <si>
    <t>Capacitor</t>
  </si>
  <si>
    <t xml:space="preserve">CAP CER 0.1UF 25V X7R 0805
</t>
  </si>
  <si>
    <t>C1</t>
  </si>
  <si>
    <t>Cap0805</t>
  </si>
  <si>
    <t>CL21B104KAFNNNE</t>
  </si>
  <si>
    <t xml:space="preserve">Samsung Electro-Mechanics
</t>
  </si>
  <si>
    <t xml:space="preserve">CL21B104KBFNNNE
</t>
  </si>
  <si>
    <t>0.1 µF</t>
  </si>
  <si>
    <t>Digikey</t>
  </si>
  <si>
    <t xml:space="preserve">CAP CER 1UF 25V X7R 0805
</t>
  </si>
  <si>
    <t>C7</t>
  </si>
  <si>
    <t>CL21B105KAFNNNE</t>
  </si>
  <si>
    <t>---------</t>
  </si>
  <si>
    <t>1uF</t>
  </si>
  <si>
    <t xml:space="preserve">CAP CER 10UF 16V X5R 0805
</t>
  </si>
  <si>
    <t>C3,C4,C5C6</t>
  </si>
  <si>
    <t>CL21A106KOFNNNE</t>
  </si>
  <si>
    <t>10uF</t>
  </si>
  <si>
    <t>Resistor</t>
  </si>
  <si>
    <t xml:space="preserve">RES 10K OHM 5% 1/10W 0603
</t>
  </si>
  <si>
    <t>R1,R2</t>
  </si>
  <si>
    <t>Res0603</t>
  </si>
  <si>
    <t>RC0603JR-0710KL</t>
  </si>
  <si>
    <t xml:space="preserve">YAGEO
</t>
  </si>
  <si>
    <t>10 k</t>
  </si>
  <si>
    <t xml:space="preserve">RES 2.2K OHM 5% 1/10W 0603
</t>
  </si>
  <si>
    <t>R3</t>
  </si>
  <si>
    <t>RC0603JR-072K2L</t>
  </si>
  <si>
    <t>2.2 k</t>
  </si>
  <si>
    <t xml:space="preserve">RES 1K OHM 5% 1/8W 0805
</t>
  </si>
  <si>
    <t>R4,R5,R7,R10,R11</t>
  </si>
  <si>
    <t>Res0805</t>
  </si>
  <si>
    <t>RC0805JR-071KL</t>
  </si>
  <si>
    <t>1K</t>
  </si>
  <si>
    <t xml:space="preserve">RES 10K OHM 5% 1/8W 0805
</t>
  </si>
  <si>
    <t>R8,R9,R12,R13</t>
  </si>
  <si>
    <t>RC0805JR-0710KL</t>
  </si>
  <si>
    <t xml:space="preserve">RES 4.7K OHM 5% 1/8W 0805
</t>
  </si>
  <si>
    <t>R6</t>
  </si>
  <si>
    <t>RC0805JR-074K7L</t>
  </si>
  <si>
    <t>4.7K</t>
  </si>
  <si>
    <t xml:space="preserve">RES 0.1 OHM 1% 1W 2512
</t>
  </si>
  <si>
    <t>R14</t>
  </si>
  <si>
    <t>Res2512</t>
  </si>
  <si>
    <t>PT2512FK-070R1L</t>
  </si>
  <si>
    <t>RL73H3AR10FTDF</t>
  </si>
  <si>
    <t>100 mOhms</t>
  </si>
  <si>
    <t>Diode</t>
  </si>
  <si>
    <t xml:space="preserve">DIODE GEN PURP 75V 150MA SOD323F
</t>
  </si>
  <si>
    <t>D1,D2,D3,D4,D5</t>
  </si>
  <si>
    <t>SOD323F</t>
  </si>
  <si>
    <t>1N4148WS</t>
  </si>
  <si>
    <t>onsemi</t>
  </si>
  <si>
    <t xml:space="preserve">DIODE SCHOTTKY 20V 1A SOD123
</t>
  </si>
  <si>
    <t>D7</t>
  </si>
  <si>
    <t>SOD123</t>
  </si>
  <si>
    <t>NRVB120ESFT1G</t>
  </si>
  <si>
    <t>PMEG2010BER,115</t>
  </si>
  <si>
    <t>Part obselete</t>
  </si>
  <si>
    <t>Transistor</t>
  </si>
  <si>
    <t xml:space="preserve">TRANS NPN 45V 0.5A SOT323
</t>
  </si>
  <si>
    <t>Q1,Q2,Q3,Q4,Q5</t>
  </si>
  <si>
    <t xml:space="preserve"> SOT323</t>
  </si>
  <si>
    <t>BC817-40W,115</t>
  </si>
  <si>
    <t xml:space="preserve">Nexperia USA Inc.
</t>
  </si>
  <si>
    <t>Relay</t>
  </si>
  <si>
    <t xml:space="preserve">RELAY GEN PURPOSE SPDT 10A 5V
</t>
  </si>
  <si>
    <t>K1,K2</t>
  </si>
  <si>
    <t>Custom</t>
  </si>
  <si>
    <t>G5LE-1 DC5</t>
  </si>
  <si>
    <t xml:space="preserve">Omron Electronics Inc-EMC Div
</t>
  </si>
  <si>
    <t>J0971CS5VDC.45</t>
  </si>
  <si>
    <t xml:space="preserve">Parts out of stock </t>
  </si>
  <si>
    <t>Songle relay</t>
  </si>
  <si>
    <t>K3,K4,K5</t>
  </si>
  <si>
    <t>SLA-05VDC-S-L-C</t>
  </si>
  <si>
    <t>Switch</t>
  </si>
  <si>
    <t xml:space="preserve">SWITCH TACTILE SPST-NO 0.05A 32V
</t>
  </si>
  <si>
    <t>SW1,SW2</t>
  </si>
  <si>
    <t>KMR241NG ULC LFS</t>
  </si>
  <si>
    <t>C&amp;K</t>
  </si>
  <si>
    <t>ICs</t>
  </si>
  <si>
    <t xml:space="preserve">IC REG LINEAR 3.3V 600MA SOT25
</t>
  </si>
  <si>
    <t>U1</t>
  </si>
  <si>
    <t>SOT25</t>
  </si>
  <si>
    <t xml:space="preserve">AP2112K-3.3TRG1 </t>
  </si>
  <si>
    <t xml:space="preserve">Diodes Incorporated
</t>
  </si>
  <si>
    <t xml:space="preserve">BU33SD5WG-TR
</t>
  </si>
  <si>
    <t>some parameters are different</t>
  </si>
  <si>
    <t xml:space="preserve">IC MONITOR PWR/CURR BID SOT-23-8
</t>
  </si>
  <si>
    <t>U2</t>
  </si>
  <si>
    <t>SOT-23-8</t>
  </si>
  <si>
    <t>INA219BIDCNT</t>
  </si>
  <si>
    <t xml:space="preserve">Texas Instruments
</t>
  </si>
  <si>
    <t>ZXCT1110W5-7</t>
  </si>
  <si>
    <t>change in i/p voltage</t>
  </si>
  <si>
    <t xml:space="preserve">RX TXRX MOD WIFI SURFACE MOUNT
</t>
  </si>
  <si>
    <t>U8</t>
  </si>
  <si>
    <t>ESP32-WROOM-32</t>
  </si>
  <si>
    <t xml:space="preserve">Espressif Systems
</t>
  </si>
  <si>
    <t>ESP32-WROOM-32E (4MB)</t>
  </si>
  <si>
    <t>DIgikey</t>
  </si>
  <si>
    <t xml:space="preserve">part out of stock </t>
  </si>
  <si>
    <t>Connector</t>
  </si>
  <si>
    <t xml:space="preserve">CONN HEADER VERT 6POS 2.54MM
</t>
  </si>
  <si>
    <t>JP2</t>
  </si>
  <si>
    <t>HDR1X6</t>
  </si>
  <si>
    <t>M20-9770646</t>
  </si>
  <si>
    <t xml:space="preserve">Harwin Inc.
</t>
  </si>
  <si>
    <t xml:space="preserve">TERM BLK 3POS SIDE ENTRY 5MM PCB
</t>
  </si>
  <si>
    <t>J3,J4,J5,J6,J7, J11 , J12</t>
  </si>
  <si>
    <t>HDR1X3</t>
  </si>
  <si>
    <t>1714036</t>
  </si>
  <si>
    <t xml:space="preserve">Phoenix Contact
</t>
  </si>
  <si>
    <t>less stock</t>
  </si>
  <si>
    <t xml:space="preserve">TERM BLK 2POS SIDE ENTRY 5MM PCB
</t>
  </si>
  <si>
    <t>J1,J2,J9,J10,J13</t>
  </si>
  <si>
    <t>HDR1X2</t>
  </si>
  <si>
    <t>1711026</t>
  </si>
  <si>
    <t>Module</t>
  </si>
  <si>
    <t>Motor speed controller</t>
  </si>
  <si>
    <t>J1</t>
  </si>
  <si>
    <t>Aliexpress</t>
  </si>
  <si>
    <t>NOTE:</t>
  </si>
  <si>
    <t xml:space="preserve">Total Component Cost </t>
  </si>
  <si>
    <t>Songle relay available at hallroad only:</t>
  </si>
  <si>
    <t>Single Board Cost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</si>
</sst>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8" formatCode="&quot;$&quot;#,##0.00_);[Red]\(&quot;$&quot;#,##0.00\)"/>
  </numFmts>
  <fonts count="28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trike/>
      <sz val="11"/>
      <color rgb="FFFF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0000FF"/>
      <name val="Calibri"/>
      <charset val="0"/>
    </font>
    <font>
      <sz val="11"/>
      <color rgb="FF333333"/>
      <name val="Calibri"/>
      <charset val="134"/>
    </font>
    <font>
      <u/>
      <sz val="11"/>
      <color rgb="FF800080"/>
      <name val="Calibri"/>
      <charset val="0"/>
    </font>
    <font>
      <b/>
      <sz val="14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1" fillId="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10" borderId="20" applyNumberFormat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0" fillId="14" borderId="22" applyNumberFormat="0" applyFon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12" fillId="0" borderId="1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2" fillId="25" borderId="23" applyNumberFormat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3" fillId="27" borderId="24" applyNumberFormat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25" fillId="27" borderId="23" applyNumberFormat="0" applyAlignment="0" applyProtection="0">
      <alignment vertical="center"/>
    </xf>
    <xf numFmtId="0" fontId="26" fillId="0" borderId="26" applyNumberFormat="0" applyFill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top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top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4" borderId="11" xfId="0" applyFont="1" applyFill="1" applyBorder="1" applyAlignment="1">
      <alignment vertical="center"/>
    </xf>
    <xf numFmtId="0" fontId="3" fillId="4" borderId="11" xfId="0" applyFont="1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0" fillId="4" borderId="0" xfId="0" applyFill="1" applyAlignment="1">
      <alignment vertical="top"/>
    </xf>
    <xf numFmtId="0" fontId="5" fillId="4" borderId="0" xfId="7" applyFill="1" applyAlignment="1">
      <alignment horizontal="left" vertical="top"/>
    </xf>
    <xf numFmtId="0" fontId="0" fillId="0" borderId="0" xfId="0" applyAlignment="1">
      <alignment horizontal="left" vertical="top"/>
    </xf>
    <xf numFmtId="0" fontId="6" fillId="0" borderId="7" xfId="7" applyFont="1" applyBorder="1" applyAlignment="1">
      <alignment horizontal="center" vertical="center"/>
    </xf>
    <xf numFmtId="8" fontId="0" fillId="0" borderId="7" xfId="0" applyNumberFormat="1" applyBorder="1" applyAlignment="1">
      <alignment horizontal="center" vertical="center"/>
    </xf>
    <xf numFmtId="8" fontId="3" fillId="0" borderId="7" xfId="0" applyNumberFormat="1" applyFont="1" applyBorder="1" applyAlignment="1">
      <alignment horizontal="center" vertical="center"/>
    </xf>
    <xf numFmtId="8" fontId="7" fillId="0" borderId="7" xfId="0" applyNumberFormat="1" applyFont="1" applyBorder="1" applyAlignment="1">
      <alignment horizontal="center" vertical="center"/>
    </xf>
    <xf numFmtId="0" fontId="6" fillId="0" borderId="9" xfId="7" applyFont="1" applyBorder="1" applyAlignment="1">
      <alignment horizontal="center" vertical="center"/>
    </xf>
    <xf numFmtId="8" fontId="0" fillId="0" borderId="9" xfId="0" applyNumberFormat="1" applyBorder="1" applyAlignment="1">
      <alignment horizontal="center" vertical="center"/>
    </xf>
    <xf numFmtId="8" fontId="3" fillId="0" borderId="9" xfId="0" applyNumberFormat="1" applyFont="1" applyBorder="1" applyAlignment="1">
      <alignment horizontal="center" vertical="center"/>
    </xf>
    <xf numFmtId="0" fontId="6" fillId="0" borderId="11" xfId="7" applyFont="1" applyBorder="1" applyAlignment="1">
      <alignment horizontal="center" vertical="center"/>
    </xf>
    <xf numFmtId="8" fontId="0" fillId="0" borderId="11" xfId="0" applyNumberFormat="1" applyBorder="1" applyAlignment="1">
      <alignment horizontal="center" vertical="center"/>
    </xf>
    <xf numFmtId="8" fontId="3" fillId="0" borderId="11" xfId="0" applyNumberFormat="1" applyFont="1" applyBorder="1" applyAlignment="1">
      <alignment horizontal="center" vertical="center"/>
    </xf>
    <xf numFmtId="0" fontId="6" fillId="0" borderId="13" xfId="7" applyFont="1" applyBorder="1" applyAlignment="1">
      <alignment horizontal="center" vertical="center"/>
    </xf>
    <xf numFmtId="8" fontId="0" fillId="0" borderId="13" xfId="0" applyNumberFormat="1" applyBorder="1" applyAlignment="1">
      <alignment horizontal="center" vertical="center"/>
    </xf>
    <xf numFmtId="8" fontId="3" fillId="0" borderId="13" xfId="0" applyNumberFormat="1" applyFont="1" applyBorder="1" applyAlignment="1">
      <alignment horizontal="center" vertical="center"/>
    </xf>
    <xf numFmtId="0" fontId="6" fillId="4" borderId="11" xfId="7" applyFont="1" applyFill="1" applyBorder="1" applyAlignment="1">
      <alignment horizontal="center" vertical="center"/>
    </xf>
    <xf numFmtId="8" fontId="0" fillId="4" borderId="11" xfId="0" applyNumberFormat="1" applyFill="1" applyBorder="1" applyAlignment="1">
      <alignment horizontal="center" vertical="center"/>
    </xf>
    <xf numFmtId="8" fontId="3" fillId="4" borderId="11" xfId="0" applyNumberFormat="1" applyFont="1" applyFill="1" applyBorder="1" applyAlignment="1">
      <alignment horizontal="center" vertical="center"/>
    </xf>
    <xf numFmtId="8" fontId="0" fillId="0" borderId="7" xfId="0" applyNumberFormat="1" applyFont="1" applyBorder="1" applyAlignment="1">
      <alignment horizontal="center" vertical="center"/>
    </xf>
    <xf numFmtId="8" fontId="0" fillId="0" borderId="9" xfId="0" applyNumberFormat="1" applyFont="1" applyBorder="1" applyAlignment="1">
      <alignment horizontal="center" vertical="center"/>
    </xf>
    <xf numFmtId="8" fontId="0" fillId="0" borderId="11" xfId="0" applyNumberFormat="1" applyFont="1" applyBorder="1" applyAlignment="1">
      <alignment horizontal="center" vertical="center"/>
    </xf>
    <xf numFmtId="0" fontId="8" fillId="0" borderId="7" xfId="7" applyFont="1" applyBorder="1" applyAlignment="1">
      <alignment horizontal="center" vertical="center"/>
    </xf>
    <xf numFmtId="0" fontId="8" fillId="0" borderId="9" xfId="7" applyFont="1" applyBorder="1" applyAlignment="1">
      <alignment horizontal="center" vertical="center"/>
    </xf>
    <xf numFmtId="0" fontId="9" fillId="5" borderId="14" xfId="0" applyFont="1" applyFill="1" applyBorder="1" applyAlignment="1">
      <alignment horizontal="center" wrapText="1"/>
    </xf>
    <xf numFmtId="8" fontId="3" fillId="0" borderId="0" xfId="0" applyNumberFormat="1" applyFont="1">
      <alignment vertical="center"/>
    </xf>
    <xf numFmtId="0" fontId="9" fillId="5" borderId="0" xfId="0" applyFont="1" applyFill="1" applyBorder="1" applyAlignment="1">
      <alignment horizontal="center" wrapText="1"/>
    </xf>
    <xf numFmtId="8" fontId="0" fillId="0" borderId="0" xfId="0" applyNumberFormat="1">
      <alignment vertical="center"/>
    </xf>
    <xf numFmtId="0" fontId="0" fillId="0" borderId="0" xfId="0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3" fillId="0" borderId="7" xfId="0" applyFont="1" applyFill="1" applyBorder="1" applyAlignment="1" quotePrefix="1">
      <alignment horizontal="center" vertical="center"/>
    </xf>
    <xf numFmtId="0" fontId="3" fillId="0" borderId="9" xfId="0" applyFont="1" applyFill="1" applyBorder="1" applyAlignment="1" quotePrefix="1">
      <alignment horizontal="center" vertical="center"/>
    </xf>
    <xf numFmtId="0" fontId="0" fillId="0" borderId="9" xfId="0" applyBorder="1" applyAlignment="1" quotePrefix="1">
      <alignment horizontal="center" vertical="center"/>
    </xf>
    <xf numFmtId="0" fontId="3" fillId="0" borderId="11" xfId="0" applyFont="1" applyFill="1" applyBorder="1" applyAlignment="1" quotePrefix="1">
      <alignment horizontal="center" vertical="center"/>
    </xf>
    <xf numFmtId="0" fontId="0" fillId="0" borderId="11" xfId="0" applyBorder="1" applyAlignment="1" quotePrefix="1">
      <alignment horizontal="center" vertical="center"/>
    </xf>
    <xf numFmtId="0" fontId="0" fillId="0" borderId="7" xfId="0" applyBorder="1" applyAlignment="1" quotePrefix="1">
      <alignment horizontal="center" vertical="center"/>
    </xf>
    <xf numFmtId="0" fontId="0" fillId="0" borderId="13" xfId="0" applyBorder="1" applyAlignment="1" quotePrefix="1">
      <alignment horizontal="center" vertical="center"/>
    </xf>
    <xf numFmtId="0" fontId="0" fillId="4" borderId="11" xfId="0" applyFill="1" applyBorder="1" applyAlignment="1" quotePrefix="1">
      <alignment horizontal="center" vertical="center"/>
    </xf>
    <xf numFmtId="0" fontId="0" fillId="0" borderId="7" xfId="0" applyFont="1" applyBorder="1" applyAlignment="1" quotePrefix="1">
      <alignment horizontal="center" vertical="center"/>
    </xf>
    <xf numFmtId="0" fontId="0" fillId="0" borderId="9" xfId="0" applyFont="1" applyBorder="1" applyAlignment="1" quotePrefix="1">
      <alignment horizontal="center" vertical="center"/>
    </xf>
    <xf numFmtId="0" fontId="0" fillId="0" borderId="11" xfId="0" applyFont="1" applyBorder="1" applyAlignment="1" quotePrefix="1">
      <alignment horizontal="center" vertical="center"/>
    </xf>
    <xf numFmtId="0" fontId="4" fillId="0" borderId="13" xfId="0" applyFont="1" applyFill="1" applyBorder="1" applyAlignment="1" quotePrefix="1">
      <alignment horizontal="center" vertical="center"/>
    </xf>
    <xf numFmtId="0" fontId="4" fillId="0" borderId="18" xfId="0" applyFont="1" applyFill="1" applyBorder="1" applyAlignment="1" quotePrefix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digikey.com/en/products/detail/yageo/RC0603JR-072K2L/726729?s=N4IgTCBcDaIEoGEAMA2JBmAUnAtEg7GANJgAyIAugL5A" TargetMode="External"/><Relationship Id="rId8" Type="http://schemas.openxmlformats.org/officeDocument/2006/relationships/hyperlink" Target="https://www.digikey.com/en/products/detail/yageo/RC0805JR-071KL/728218?s=N4IgTCBcDaIEoGEAMAOJBWAUnAtEg7AIwDSAMiALoC%2BQA" TargetMode="External"/><Relationship Id="rId7" Type="http://schemas.openxmlformats.org/officeDocument/2006/relationships/hyperlink" Target="https://www.digikey.com/en/products/detail/yageo/RC0805JR-0710KL/728241?s=N4IgTCBcDaIEoGEAMAOJBWAUnAtEg7AIxIDSAMiALoC%2BQA" TargetMode="External"/><Relationship Id="rId6" Type="http://schemas.openxmlformats.org/officeDocument/2006/relationships/hyperlink" Target="https://www.digikey.com/en/products/detail/yageo/RC0805JR-074K7L/728327?s=N4IgTCBcDaIEoGEAMAOJBWAUnAtEg7ACwDS%2BAMiALoC%2BQA" TargetMode="External"/><Relationship Id="rId5" Type="http://schemas.openxmlformats.org/officeDocument/2006/relationships/hyperlink" Target="https://www.digikey.com/en/products/detail/onsemi/1N4148WS/1873805" TargetMode="External"/><Relationship Id="rId4" Type="http://schemas.openxmlformats.org/officeDocument/2006/relationships/hyperlink" Target="https://www.digikey.com/en/products/detail/nexperia-usa-inc/BC817-40W-115/1232253" TargetMode="External"/><Relationship Id="rId3" Type="http://schemas.openxmlformats.org/officeDocument/2006/relationships/hyperlink" Target="https://www.digikey.com/en/products/detail/harwin-inc/M20-9770646/3727772?s=N4IgTCBcDaILJgAwFoCcB2diBsAWbIAugL5A" TargetMode="External"/><Relationship Id="rId22" Type="http://schemas.openxmlformats.org/officeDocument/2006/relationships/hyperlink" Target="https://hallroad.org/5v-30a-power-relay-sla05vdcslc-6pin-in-pakistan.html" TargetMode="External"/><Relationship Id="rId21" Type="http://schemas.openxmlformats.org/officeDocument/2006/relationships/hyperlink" Target="https://www.amazon.com/RioRand-6-60V-Brushless-Electric-Controller/dp/B087M2378D/ref=cm_cr_arp_d_product_top?ie=UTF8" TargetMode="External"/><Relationship Id="rId20" Type="http://schemas.openxmlformats.org/officeDocument/2006/relationships/hyperlink" Target="https://www.digikey.com/en/products/detail/samsung-electro-mechanics/CL21B104KBFNNNE/3889266" TargetMode="External"/><Relationship Id="rId2" Type="http://schemas.openxmlformats.org/officeDocument/2006/relationships/hyperlink" Target="https://www.digikey.com/en/products/detail/phoenix-contact/1714036/3606250?s=N4IgTCBcDaIIwHY4BYAMBmAbCAugXyA" TargetMode="External"/><Relationship Id="rId19" Type="http://schemas.openxmlformats.org/officeDocument/2006/relationships/hyperlink" Target="https://www.digikey.com/en/products/detail/espressif-systems/ESP32-WROOM-32E-4MB/11613125" TargetMode="External"/><Relationship Id="rId18" Type="http://schemas.openxmlformats.org/officeDocument/2006/relationships/hyperlink" Target="https://www.digikey.com/en/products/detail/cit-relay-and-switch/J0971CS5VDC-45/12503173" TargetMode="External"/><Relationship Id="rId17" Type="http://schemas.openxmlformats.org/officeDocument/2006/relationships/hyperlink" Target="https://www.digikey.com/en/products/detail/te-connectivity-passive-product/RL73H3AR10FTDF/9372005" TargetMode="External"/><Relationship Id="rId16" Type="http://schemas.openxmlformats.org/officeDocument/2006/relationships/hyperlink" Target="https://www.digikey.com/en/products/detail/nexperia-usa-inc/PMEG2010BER-115/2531790" TargetMode="External"/><Relationship Id="rId15" Type="http://schemas.openxmlformats.org/officeDocument/2006/relationships/hyperlink" Target="https://www.digikey.com/en/products/detail/rohm-semiconductor/BU33SD5WG-TR/5720185" TargetMode="External"/><Relationship Id="rId14" Type="http://schemas.openxmlformats.org/officeDocument/2006/relationships/hyperlink" Target="https://www.digikey.com/en/products/detail/diodes-incorporated/ZXCT1110W5-7/3678144" TargetMode="External"/><Relationship Id="rId13" Type="http://schemas.openxmlformats.org/officeDocument/2006/relationships/hyperlink" Target="https://www.digikey.com/en/products/detail/c-k/KMR241NG-ULC-LFS/2043217?s=N4IgTCBcDaINIFkBKYAsBGAcgcQAQFUAZAYV0IDEBlEAXQF8g" TargetMode="External"/><Relationship Id="rId12" Type="http://schemas.openxmlformats.org/officeDocument/2006/relationships/hyperlink" Target="https://www.digikey.com/en/products/detail/samsung-electro-mechanics/CL21B105KAFNNNE/3886724?s=N4IgTCBcDaIMIBkwEYBCyAMBWA0gQQDEA5EgURAF0BfIA" TargetMode="External"/><Relationship Id="rId11" Type="http://schemas.openxmlformats.org/officeDocument/2006/relationships/hyperlink" Target="https://www.digikey.com/en/products/detail/samsung-electro-mechanics/CL21A106KOFNNNE/3888551?s=N4IgTCBcDaIMIBkwEYCCyAMA2A0geQDEA5EgURAF0BfIA" TargetMode="External"/><Relationship Id="rId10" Type="http://schemas.openxmlformats.org/officeDocument/2006/relationships/hyperlink" Target="https://www.digikey.com/en/products/detail/yageo/RC0603JR-0710KL/726700?s=N4IgTCBcDaIEoGEAMA2JBmAUnAtEg7AIxIDSAMiALoC%2BQA" TargetMode="External"/><Relationship Id="rId1" Type="http://schemas.openxmlformats.org/officeDocument/2006/relationships/hyperlink" Target="https://www.digikey.com/en/products/detail/phoenix-contact/1711026/2603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0"/>
  <sheetViews>
    <sheetView tabSelected="1" workbookViewId="0">
      <selection activeCell="B26" sqref="B26"/>
    </sheetView>
  </sheetViews>
  <sheetFormatPr defaultColWidth="9.14285714285714" defaultRowHeight="15" zeroHeight="1"/>
  <cols>
    <col min="1" max="1" width="7.28571428571429" customWidth="1"/>
    <col min="2" max="2" width="14.2857142857143" customWidth="1"/>
    <col min="3" max="3" width="41.4285714285714" customWidth="1"/>
    <col min="4" max="4" width="22" customWidth="1"/>
    <col min="5" max="5" width="22.1428571428571" customWidth="1"/>
    <col min="6" max="6" width="30.7142857142857" customWidth="1"/>
    <col min="7" max="7" width="28" customWidth="1"/>
    <col min="8" max="8" width="26.2857142857143" customWidth="1"/>
    <col min="9" max="9" width="12.1428571428571" customWidth="1"/>
    <col min="10" max="10" width="23.4285714285714" customWidth="1"/>
    <col min="11" max="11" width="12.2857142857143" customWidth="1"/>
    <col min="12" max="12" width="13.8571428571429" customWidth="1"/>
    <col min="13" max="13" width="13.4285714285714" customWidth="1"/>
    <col min="14" max="14" width="14.2857142857143" customWidth="1"/>
    <col min="15" max="15" width="22.1428571428571" customWidth="1"/>
    <col min="16" max="16" width="15" customWidth="1"/>
    <col min="17" max="17" width="31" customWidth="1"/>
    <col min="18" max="133" width="9.14285714285714" hidden="1" customWidth="1"/>
    <col min="134" max="16384" width="9.14285714285714" hidden="1"/>
  </cols>
  <sheetData>
    <row r="1" ht="16.5" spans="1: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63"/>
    </row>
    <row r="2" ht="16.5" spans="1:18">
      <c r="A2" s="2" t="s">
        <v>1</v>
      </c>
      <c r="B2" s="3" t="s">
        <v>2</v>
      </c>
      <c r="C2" s="4" t="s">
        <v>3</v>
      </c>
      <c r="D2" s="3" t="s">
        <v>4</v>
      </c>
      <c r="E2" s="3" t="s">
        <v>5</v>
      </c>
      <c r="F2" s="4" t="s">
        <v>6</v>
      </c>
      <c r="G2" s="3" t="s">
        <v>7</v>
      </c>
      <c r="H2" s="4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63"/>
    </row>
    <row r="3" spans="1:20">
      <c r="A3" s="5">
        <v>1</v>
      </c>
      <c r="B3" s="6" t="s">
        <v>18</v>
      </c>
      <c r="C3" s="7" t="s">
        <v>19</v>
      </c>
      <c r="D3" s="8" t="s">
        <v>20</v>
      </c>
      <c r="E3" s="72" t="s">
        <v>21</v>
      </c>
      <c r="F3" s="8" t="s">
        <v>22</v>
      </c>
      <c r="G3" s="10" t="s">
        <v>23</v>
      </c>
      <c r="H3" s="10" t="s">
        <v>24</v>
      </c>
      <c r="I3" s="10" t="s">
        <v>25</v>
      </c>
      <c r="J3" s="10">
        <v>1</v>
      </c>
      <c r="K3" s="8">
        <f>J3*5</f>
        <v>5</v>
      </c>
      <c r="L3" s="38" t="s">
        <v>26</v>
      </c>
      <c r="M3" s="39">
        <v>0.1</v>
      </c>
      <c r="N3" s="40">
        <f>M3*J3</f>
        <v>0.1</v>
      </c>
      <c r="O3" s="41">
        <v>0.1</v>
      </c>
      <c r="P3" s="40">
        <f>O3*K3</f>
        <v>0.5</v>
      </c>
      <c r="Q3" s="64"/>
      <c r="R3" s="65"/>
      <c r="S3" s="34"/>
      <c r="T3" s="34"/>
    </row>
    <row r="4" spans="1:20">
      <c r="A4" s="5">
        <f>A3+1</f>
        <v>2</v>
      </c>
      <c r="B4" s="11"/>
      <c r="C4" s="12" t="s">
        <v>27</v>
      </c>
      <c r="D4" s="13" t="s">
        <v>28</v>
      </c>
      <c r="E4" s="73" t="s">
        <v>21</v>
      </c>
      <c r="F4" s="13" t="s">
        <v>29</v>
      </c>
      <c r="G4" s="15" t="s">
        <v>23</v>
      </c>
      <c r="H4" s="74" t="s">
        <v>30</v>
      </c>
      <c r="I4" s="15" t="s">
        <v>31</v>
      </c>
      <c r="J4" s="15">
        <v>1</v>
      </c>
      <c r="K4" s="13">
        <f t="shared" ref="K4:K23" si="0">J4*5</f>
        <v>5</v>
      </c>
      <c r="L4" s="42" t="s">
        <v>26</v>
      </c>
      <c r="M4" s="43">
        <v>0.1</v>
      </c>
      <c r="N4" s="44">
        <f t="shared" ref="N4:N24" si="1">M4*J4</f>
        <v>0.1</v>
      </c>
      <c r="O4" s="44">
        <v>0.1</v>
      </c>
      <c r="P4" s="44">
        <f t="shared" ref="P4:P23" si="2">O4*K4</f>
        <v>0.5</v>
      </c>
      <c r="Q4" s="66"/>
      <c r="R4" s="65"/>
      <c r="S4" s="34"/>
      <c r="T4" s="34"/>
    </row>
    <row r="5" spans="1:20">
      <c r="A5" s="5">
        <f t="shared" ref="A5:A24" si="3">A4+1</f>
        <v>3</v>
      </c>
      <c r="B5" s="16"/>
      <c r="C5" s="17" t="s">
        <v>32</v>
      </c>
      <c r="D5" s="18" t="s">
        <v>33</v>
      </c>
      <c r="E5" s="75" t="s">
        <v>21</v>
      </c>
      <c r="F5" s="18" t="s">
        <v>34</v>
      </c>
      <c r="G5" s="20" t="s">
        <v>23</v>
      </c>
      <c r="H5" s="76" t="s">
        <v>30</v>
      </c>
      <c r="I5" s="20" t="s">
        <v>35</v>
      </c>
      <c r="J5" s="20">
        <v>4</v>
      </c>
      <c r="K5" s="18">
        <f t="shared" si="0"/>
        <v>20</v>
      </c>
      <c r="L5" s="45" t="s">
        <v>26</v>
      </c>
      <c r="M5" s="46">
        <v>0.17</v>
      </c>
      <c r="N5" s="47">
        <f t="shared" si="1"/>
        <v>0.68</v>
      </c>
      <c r="O5" s="47">
        <v>0.12</v>
      </c>
      <c r="P5" s="47">
        <f t="shared" si="2"/>
        <v>2.4</v>
      </c>
      <c r="Q5" s="67"/>
      <c r="R5" s="65"/>
      <c r="S5" s="34"/>
      <c r="T5" s="34"/>
    </row>
    <row r="6" spans="1:20">
      <c r="A6" s="5">
        <f t="shared" si="3"/>
        <v>4</v>
      </c>
      <c r="B6" s="6" t="s">
        <v>36</v>
      </c>
      <c r="C6" s="21" t="s">
        <v>37</v>
      </c>
      <c r="D6" s="8" t="s">
        <v>38</v>
      </c>
      <c r="E6" s="8" t="s">
        <v>39</v>
      </c>
      <c r="F6" s="8" t="s">
        <v>40</v>
      </c>
      <c r="G6" s="10" t="s">
        <v>41</v>
      </c>
      <c r="H6" s="77" t="s">
        <v>30</v>
      </c>
      <c r="I6" s="10" t="s">
        <v>42</v>
      </c>
      <c r="J6" s="10">
        <v>2</v>
      </c>
      <c r="K6" s="8">
        <f t="shared" si="0"/>
        <v>10</v>
      </c>
      <c r="L6" s="38" t="s">
        <v>26</v>
      </c>
      <c r="M6" s="39">
        <v>0.1</v>
      </c>
      <c r="N6" s="40">
        <f t="shared" si="1"/>
        <v>0.2</v>
      </c>
      <c r="O6" s="40">
        <v>0.02</v>
      </c>
      <c r="P6" s="40">
        <f t="shared" si="2"/>
        <v>0.2</v>
      </c>
      <c r="Q6" s="64"/>
      <c r="R6" s="65"/>
      <c r="S6" s="34"/>
      <c r="T6" s="34"/>
    </row>
    <row r="7" spans="1:20">
      <c r="A7" s="5">
        <f t="shared" si="3"/>
        <v>5</v>
      </c>
      <c r="B7" s="11"/>
      <c r="C7" s="22" t="s">
        <v>43</v>
      </c>
      <c r="D7" s="13" t="s">
        <v>44</v>
      </c>
      <c r="E7" s="13" t="s">
        <v>39</v>
      </c>
      <c r="F7" s="13" t="s">
        <v>45</v>
      </c>
      <c r="G7" s="15" t="s">
        <v>41</v>
      </c>
      <c r="H7" s="74" t="s">
        <v>30</v>
      </c>
      <c r="I7" s="15" t="s">
        <v>46</v>
      </c>
      <c r="J7" s="15">
        <v>1</v>
      </c>
      <c r="K7" s="13">
        <f t="shared" si="0"/>
        <v>5</v>
      </c>
      <c r="L7" s="42" t="s">
        <v>26</v>
      </c>
      <c r="M7" s="43">
        <v>0.1</v>
      </c>
      <c r="N7" s="44">
        <f t="shared" si="1"/>
        <v>0.1</v>
      </c>
      <c r="O7" s="44">
        <v>0.02</v>
      </c>
      <c r="P7" s="44">
        <f t="shared" si="2"/>
        <v>0.1</v>
      </c>
      <c r="Q7" s="66"/>
      <c r="R7" s="65"/>
      <c r="S7" s="34"/>
      <c r="T7" s="34"/>
    </row>
    <row r="8" spans="1:20">
      <c r="A8" s="5">
        <f t="shared" si="3"/>
        <v>6</v>
      </c>
      <c r="B8" s="11"/>
      <c r="C8" s="22" t="s">
        <v>47</v>
      </c>
      <c r="D8" s="13" t="s">
        <v>48</v>
      </c>
      <c r="E8" s="13" t="s">
        <v>49</v>
      </c>
      <c r="F8" s="13" t="s">
        <v>50</v>
      </c>
      <c r="G8" s="15" t="s">
        <v>41</v>
      </c>
      <c r="H8" s="74" t="s">
        <v>30</v>
      </c>
      <c r="I8" s="15" t="s">
        <v>51</v>
      </c>
      <c r="J8" s="15">
        <v>5</v>
      </c>
      <c r="K8" s="13">
        <f t="shared" si="0"/>
        <v>25</v>
      </c>
      <c r="L8" s="42" t="s">
        <v>26</v>
      </c>
      <c r="M8" s="43">
        <v>0.1</v>
      </c>
      <c r="N8" s="44">
        <f t="shared" si="1"/>
        <v>0.5</v>
      </c>
      <c r="O8" s="44">
        <v>0.036</v>
      </c>
      <c r="P8" s="44">
        <f t="shared" si="2"/>
        <v>0.9</v>
      </c>
      <c r="Q8" s="66"/>
      <c r="R8" s="65"/>
      <c r="S8" s="34"/>
      <c r="T8" s="34"/>
    </row>
    <row r="9" spans="1:20">
      <c r="A9" s="5">
        <f t="shared" si="3"/>
        <v>7</v>
      </c>
      <c r="B9" s="11"/>
      <c r="C9" s="22" t="s">
        <v>52</v>
      </c>
      <c r="D9" s="13" t="s">
        <v>53</v>
      </c>
      <c r="E9" s="13" t="s">
        <v>49</v>
      </c>
      <c r="F9" s="13" t="s">
        <v>54</v>
      </c>
      <c r="G9" s="15" t="s">
        <v>41</v>
      </c>
      <c r="H9" s="74" t="s">
        <v>30</v>
      </c>
      <c r="I9" s="15" t="s">
        <v>42</v>
      </c>
      <c r="J9" s="15">
        <v>4</v>
      </c>
      <c r="K9" s="13">
        <f t="shared" si="0"/>
        <v>20</v>
      </c>
      <c r="L9" s="42" t="s">
        <v>26</v>
      </c>
      <c r="M9" s="43">
        <v>0.1</v>
      </c>
      <c r="N9" s="44">
        <f t="shared" si="1"/>
        <v>0.4</v>
      </c>
      <c r="O9" s="44">
        <v>0.036</v>
      </c>
      <c r="P9" s="44">
        <f t="shared" si="2"/>
        <v>0.72</v>
      </c>
      <c r="Q9" s="66"/>
      <c r="R9" s="65"/>
      <c r="S9" s="34"/>
      <c r="T9" s="34"/>
    </row>
    <row r="10" spans="1:20">
      <c r="A10" s="5">
        <f t="shared" si="3"/>
        <v>8</v>
      </c>
      <c r="B10" s="11"/>
      <c r="C10" s="22" t="s">
        <v>55</v>
      </c>
      <c r="D10" s="13" t="s">
        <v>56</v>
      </c>
      <c r="E10" s="13" t="s">
        <v>49</v>
      </c>
      <c r="F10" s="13" t="s">
        <v>57</v>
      </c>
      <c r="G10" s="15" t="s">
        <v>41</v>
      </c>
      <c r="H10" s="74" t="s">
        <v>30</v>
      </c>
      <c r="I10" s="15" t="s">
        <v>58</v>
      </c>
      <c r="J10" s="15">
        <v>1</v>
      </c>
      <c r="K10" s="13">
        <f t="shared" si="0"/>
        <v>5</v>
      </c>
      <c r="L10" s="42" t="s">
        <v>26</v>
      </c>
      <c r="M10" s="43">
        <v>0.1</v>
      </c>
      <c r="N10" s="44">
        <f t="shared" si="1"/>
        <v>0.1</v>
      </c>
      <c r="O10" s="44">
        <v>0.1</v>
      </c>
      <c r="P10" s="44">
        <f t="shared" si="2"/>
        <v>0.5</v>
      </c>
      <c r="Q10" s="66"/>
      <c r="R10" s="65"/>
      <c r="S10" s="34"/>
      <c r="T10" s="34"/>
    </row>
    <row r="11" ht="15.75" spans="1:20">
      <c r="A11" s="5">
        <f t="shared" si="3"/>
        <v>9</v>
      </c>
      <c r="B11" s="16"/>
      <c r="C11" s="17" t="s">
        <v>59</v>
      </c>
      <c r="D11" s="18" t="s">
        <v>60</v>
      </c>
      <c r="E11" s="18" t="s">
        <v>61</v>
      </c>
      <c r="F11" s="18" t="s">
        <v>62</v>
      </c>
      <c r="G11" s="20" t="s">
        <v>41</v>
      </c>
      <c r="H11" s="20" t="s">
        <v>63</v>
      </c>
      <c r="I11" s="20" t="s">
        <v>64</v>
      </c>
      <c r="J11" s="20">
        <v>1</v>
      </c>
      <c r="K11" s="18">
        <f t="shared" si="0"/>
        <v>5</v>
      </c>
      <c r="L11" s="45" t="s">
        <v>26</v>
      </c>
      <c r="M11" s="46">
        <v>0.66</v>
      </c>
      <c r="N11" s="47">
        <f t="shared" si="1"/>
        <v>0.66</v>
      </c>
      <c r="O11" s="47">
        <v>0.66</v>
      </c>
      <c r="P11" s="47">
        <f t="shared" si="2"/>
        <v>3.3</v>
      </c>
      <c r="Q11" s="67"/>
      <c r="R11" s="65"/>
      <c r="S11" s="34"/>
      <c r="T11" s="34"/>
    </row>
    <row r="12" spans="1:20">
      <c r="A12" s="5">
        <f t="shared" si="3"/>
        <v>10</v>
      </c>
      <c r="B12" s="6" t="s">
        <v>65</v>
      </c>
      <c r="C12" s="21" t="s">
        <v>66</v>
      </c>
      <c r="D12" s="8" t="s">
        <v>67</v>
      </c>
      <c r="E12" s="8" t="s">
        <v>68</v>
      </c>
      <c r="F12" s="8" t="s">
        <v>69</v>
      </c>
      <c r="G12" s="10" t="s">
        <v>70</v>
      </c>
      <c r="H12" s="77" t="s">
        <v>30</v>
      </c>
      <c r="I12" s="77" t="s">
        <v>30</v>
      </c>
      <c r="J12" s="10">
        <v>5</v>
      </c>
      <c r="K12" s="8">
        <f t="shared" si="0"/>
        <v>25</v>
      </c>
      <c r="L12" s="38" t="s">
        <v>26</v>
      </c>
      <c r="M12" s="39">
        <v>0.21</v>
      </c>
      <c r="N12" s="40">
        <f t="shared" si="1"/>
        <v>1.05</v>
      </c>
      <c r="O12" s="40">
        <v>0.192</v>
      </c>
      <c r="P12" s="40">
        <f t="shared" si="2"/>
        <v>4.8</v>
      </c>
      <c r="Q12" s="64"/>
      <c r="R12" s="65"/>
      <c r="S12" s="34"/>
      <c r="T12" s="34"/>
    </row>
    <row r="13" ht="15.75" spans="1:20">
      <c r="A13" s="5">
        <f t="shared" si="3"/>
        <v>11</v>
      </c>
      <c r="B13" s="16"/>
      <c r="C13" s="17" t="s">
        <v>71</v>
      </c>
      <c r="D13" s="18" t="s">
        <v>72</v>
      </c>
      <c r="E13" s="18" t="s">
        <v>73</v>
      </c>
      <c r="F13" s="18" t="s">
        <v>74</v>
      </c>
      <c r="G13" s="20" t="s">
        <v>70</v>
      </c>
      <c r="H13" s="20" t="s">
        <v>75</v>
      </c>
      <c r="I13" s="76" t="s">
        <v>30</v>
      </c>
      <c r="J13" s="20">
        <v>1</v>
      </c>
      <c r="K13" s="18">
        <f t="shared" si="0"/>
        <v>5</v>
      </c>
      <c r="L13" s="45" t="s">
        <v>26</v>
      </c>
      <c r="M13" s="46">
        <v>0.42</v>
      </c>
      <c r="N13" s="47">
        <f t="shared" si="1"/>
        <v>0.42</v>
      </c>
      <c r="O13" s="47">
        <v>0.42</v>
      </c>
      <c r="P13" s="47">
        <f t="shared" si="2"/>
        <v>2.1</v>
      </c>
      <c r="Q13" s="67" t="s">
        <v>76</v>
      </c>
      <c r="R13" s="68"/>
      <c r="S13" s="34"/>
      <c r="T13" s="34"/>
    </row>
    <row r="14" spans="1:20">
      <c r="A14" s="5">
        <f t="shared" si="3"/>
        <v>12</v>
      </c>
      <c r="B14" s="23" t="s">
        <v>77</v>
      </c>
      <c r="C14" s="24" t="s">
        <v>78</v>
      </c>
      <c r="D14" s="25" t="s">
        <v>79</v>
      </c>
      <c r="E14" s="25" t="s">
        <v>80</v>
      </c>
      <c r="F14" s="25" t="s">
        <v>81</v>
      </c>
      <c r="G14" s="26" t="s">
        <v>82</v>
      </c>
      <c r="H14" s="78" t="s">
        <v>30</v>
      </c>
      <c r="I14" s="78" t="s">
        <v>30</v>
      </c>
      <c r="J14" s="26">
        <v>5</v>
      </c>
      <c r="K14" s="25">
        <f t="shared" si="0"/>
        <v>25</v>
      </c>
      <c r="L14" s="48" t="s">
        <v>26</v>
      </c>
      <c r="M14" s="49">
        <v>0.2</v>
      </c>
      <c r="N14" s="50">
        <f t="shared" si="1"/>
        <v>1</v>
      </c>
      <c r="O14" s="50">
        <v>0.182</v>
      </c>
      <c r="P14" s="50">
        <f t="shared" si="2"/>
        <v>4.55</v>
      </c>
      <c r="Q14" s="69"/>
      <c r="R14" s="68"/>
      <c r="S14" s="34"/>
      <c r="T14" s="34"/>
    </row>
    <row r="15" spans="1:20">
      <c r="A15" s="5">
        <f t="shared" si="3"/>
        <v>13</v>
      </c>
      <c r="B15" s="6" t="s">
        <v>83</v>
      </c>
      <c r="C15" s="21" t="s">
        <v>84</v>
      </c>
      <c r="D15" s="8" t="s">
        <v>85</v>
      </c>
      <c r="E15" s="8" t="s">
        <v>86</v>
      </c>
      <c r="F15" s="8" t="s">
        <v>87</v>
      </c>
      <c r="G15" s="10" t="s">
        <v>88</v>
      </c>
      <c r="H15" s="10" t="s">
        <v>89</v>
      </c>
      <c r="I15" s="77" t="s">
        <v>30</v>
      </c>
      <c r="J15" s="10">
        <v>2</v>
      </c>
      <c r="K15" s="8">
        <f t="shared" si="0"/>
        <v>10</v>
      </c>
      <c r="L15" s="38" t="s">
        <v>26</v>
      </c>
      <c r="M15" s="39">
        <v>1.18</v>
      </c>
      <c r="N15" s="40">
        <f t="shared" si="1"/>
        <v>2.36</v>
      </c>
      <c r="O15" s="40">
        <v>1.11</v>
      </c>
      <c r="P15" s="40">
        <f t="shared" si="2"/>
        <v>11.1</v>
      </c>
      <c r="Q15" s="64" t="s">
        <v>90</v>
      </c>
      <c r="R15" s="68"/>
      <c r="S15" s="34"/>
      <c r="T15" s="34"/>
    </row>
    <row r="16" spans="1:20">
      <c r="A16" s="5">
        <f t="shared" si="3"/>
        <v>14</v>
      </c>
      <c r="B16" s="16"/>
      <c r="C16" s="27" t="s">
        <v>91</v>
      </c>
      <c r="D16" s="28" t="s">
        <v>92</v>
      </c>
      <c r="E16" s="28"/>
      <c r="F16" s="28" t="s">
        <v>93</v>
      </c>
      <c r="G16" s="29"/>
      <c r="H16" s="79" t="s">
        <v>30</v>
      </c>
      <c r="I16" s="79" t="s">
        <v>30</v>
      </c>
      <c r="J16" s="29">
        <v>3</v>
      </c>
      <c r="K16" s="28">
        <f t="shared" si="0"/>
        <v>15</v>
      </c>
      <c r="L16" s="51"/>
      <c r="M16" s="52"/>
      <c r="N16" s="53">
        <f t="shared" si="1"/>
        <v>0</v>
      </c>
      <c r="O16" s="53"/>
      <c r="P16" s="53">
        <f t="shared" si="2"/>
        <v>0</v>
      </c>
      <c r="Q16" s="70"/>
      <c r="R16" s="68"/>
      <c r="S16" s="34"/>
      <c r="T16" s="34"/>
    </row>
    <row r="17" ht="15.75" spans="1:20">
      <c r="A17" s="5">
        <f t="shared" si="3"/>
        <v>15</v>
      </c>
      <c r="B17" s="23" t="s">
        <v>94</v>
      </c>
      <c r="C17" s="24" t="s">
        <v>95</v>
      </c>
      <c r="D17" s="25" t="s">
        <v>96</v>
      </c>
      <c r="E17" s="25" t="s">
        <v>86</v>
      </c>
      <c r="F17" s="25" t="s">
        <v>97</v>
      </c>
      <c r="G17" s="26" t="s">
        <v>98</v>
      </c>
      <c r="H17" s="78" t="s">
        <v>30</v>
      </c>
      <c r="I17" s="78" t="s">
        <v>30</v>
      </c>
      <c r="J17" s="26">
        <v>2</v>
      </c>
      <c r="K17" s="25">
        <f t="shared" si="0"/>
        <v>10</v>
      </c>
      <c r="L17" s="48" t="s">
        <v>26</v>
      </c>
      <c r="M17" s="49">
        <v>0.57</v>
      </c>
      <c r="N17" s="50">
        <f t="shared" si="1"/>
        <v>1.14</v>
      </c>
      <c r="O17" s="50">
        <v>0.546</v>
      </c>
      <c r="P17" s="50">
        <f t="shared" si="2"/>
        <v>5.46</v>
      </c>
      <c r="Q17" s="69"/>
      <c r="R17" s="68"/>
      <c r="S17" s="34"/>
      <c r="T17" s="34"/>
    </row>
    <row r="18" spans="1:20">
      <c r="A18" s="5">
        <f t="shared" si="3"/>
        <v>16</v>
      </c>
      <c r="B18" s="6" t="s">
        <v>99</v>
      </c>
      <c r="C18" s="21" t="s">
        <v>100</v>
      </c>
      <c r="D18" s="8" t="s">
        <v>101</v>
      </c>
      <c r="E18" s="8" t="s">
        <v>102</v>
      </c>
      <c r="F18" s="8" t="s">
        <v>103</v>
      </c>
      <c r="G18" s="30" t="s">
        <v>104</v>
      </c>
      <c r="H18" s="30" t="s">
        <v>105</v>
      </c>
      <c r="I18" s="80" t="s">
        <v>30</v>
      </c>
      <c r="J18" s="30">
        <v>1</v>
      </c>
      <c r="K18" s="8">
        <f t="shared" si="0"/>
        <v>5</v>
      </c>
      <c r="L18" s="38" t="s">
        <v>26</v>
      </c>
      <c r="M18" s="54">
        <v>0.5</v>
      </c>
      <c r="N18" s="40">
        <f t="shared" si="1"/>
        <v>0.5</v>
      </c>
      <c r="O18" s="40">
        <v>0.5</v>
      </c>
      <c r="P18" s="40">
        <f t="shared" si="2"/>
        <v>2.5</v>
      </c>
      <c r="Q18" s="64" t="s">
        <v>106</v>
      </c>
      <c r="R18" s="68"/>
      <c r="S18" s="34"/>
      <c r="T18" s="34"/>
    </row>
    <row r="19" spans="1:20">
      <c r="A19" s="5">
        <f t="shared" si="3"/>
        <v>17</v>
      </c>
      <c r="B19" s="11"/>
      <c r="C19" s="22" t="s">
        <v>107</v>
      </c>
      <c r="D19" s="13" t="s">
        <v>108</v>
      </c>
      <c r="E19" s="13" t="s">
        <v>109</v>
      </c>
      <c r="F19" s="13" t="s">
        <v>110</v>
      </c>
      <c r="G19" s="31" t="s">
        <v>111</v>
      </c>
      <c r="H19" s="31" t="s">
        <v>112</v>
      </c>
      <c r="I19" s="81" t="s">
        <v>30</v>
      </c>
      <c r="J19" s="31">
        <v>1</v>
      </c>
      <c r="K19" s="13">
        <f t="shared" si="0"/>
        <v>5</v>
      </c>
      <c r="L19" s="42" t="s">
        <v>26</v>
      </c>
      <c r="M19" s="55">
        <v>0.99</v>
      </c>
      <c r="N19" s="44">
        <f t="shared" si="1"/>
        <v>0.99</v>
      </c>
      <c r="O19" s="44">
        <v>0.99</v>
      </c>
      <c r="P19" s="44">
        <f t="shared" si="2"/>
        <v>4.95</v>
      </c>
      <c r="Q19" s="66" t="s">
        <v>113</v>
      </c>
      <c r="R19" s="68"/>
      <c r="S19" s="34"/>
      <c r="T19" s="34"/>
    </row>
    <row r="20" spans="1:20">
      <c r="A20" s="5">
        <f t="shared" si="3"/>
        <v>18</v>
      </c>
      <c r="B20" s="16"/>
      <c r="C20" s="17" t="s">
        <v>114</v>
      </c>
      <c r="D20" s="18" t="s">
        <v>115</v>
      </c>
      <c r="E20" s="18" t="s">
        <v>86</v>
      </c>
      <c r="F20" s="18" t="s">
        <v>116</v>
      </c>
      <c r="G20" s="32" t="s">
        <v>117</v>
      </c>
      <c r="H20" s="32" t="s">
        <v>118</v>
      </c>
      <c r="I20" s="82" t="s">
        <v>30</v>
      </c>
      <c r="J20" s="32">
        <v>1</v>
      </c>
      <c r="K20" s="18">
        <f t="shared" si="0"/>
        <v>5</v>
      </c>
      <c r="L20" s="45" t="s">
        <v>119</v>
      </c>
      <c r="M20" s="56">
        <v>3</v>
      </c>
      <c r="N20" s="47">
        <f t="shared" si="1"/>
        <v>3</v>
      </c>
      <c r="O20" s="47">
        <v>3</v>
      </c>
      <c r="P20" s="47">
        <f t="shared" si="2"/>
        <v>15</v>
      </c>
      <c r="Q20" s="67" t="s">
        <v>120</v>
      </c>
      <c r="R20" s="68"/>
      <c r="S20" s="34"/>
      <c r="T20" s="34"/>
    </row>
    <row r="21" spans="1:20">
      <c r="A21" s="5">
        <f t="shared" si="3"/>
        <v>19</v>
      </c>
      <c r="B21" s="6" t="s">
        <v>121</v>
      </c>
      <c r="C21" s="21" t="s">
        <v>122</v>
      </c>
      <c r="D21" s="8" t="s">
        <v>123</v>
      </c>
      <c r="E21" s="8" t="s">
        <v>124</v>
      </c>
      <c r="F21" s="8" t="s">
        <v>125</v>
      </c>
      <c r="G21" s="10" t="s">
        <v>126</v>
      </c>
      <c r="H21" s="77" t="s">
        <v>30</v>
      </c>
      <c r="I21" s="77" t="s">
        <v>30</v>
      </c>
      <c r="J21" s="10">
        <v>1</v>
      </c>
      <c r="K21" s="8">
        <f t="shared" si="0"/>
        <v>5</v>
      </c>
      <c r="L21" s="57" t="s">
        <v>26</v>
      </c>
      <c r="M21" s="39">
        <v>0.28</v>
      </c>
      <c r="N21" s="40">
        <f t="shared" si="1"/>
        <v>0.28</v>
      </c>
      <c r="O21" s="40">
        <v>0.28</v>
      </c>
      <c r="P21" s="40">
        <f t="shared" si="2"/>
        <v>1.4</v>
      </c>
      <c r="Q21" s="64"/>
      <c r="R21" s="68"/>
      <c r="S21" s="34"/>
      <c r="T21" s="34"/>
    </row>
    <row r="22" spans="1:20">
      <c r="A22" s="5">
        <f t="shared" si="3"/>
        <v>20</v>
      </c>
      <c r="B22" s="11"/>
      <c r="C22" s="22" t="s">
        <v>127</v>
      </c>
      <c r="D22" s="13" t="s">
        <v>128</v>
      </c>
      <c r="E22" s="13" t="s">
        <v>129</v>
      </c>
      <c r="F22" s="13" t="s">
        <v>130</v>
      </c>
      <c r="G22" s="15" t="s">
        <v>131</v>
      </c>
      <c r="H22" s="74" t="s">
        <v>30</v>
      </c>
      <c r="I22" s="74" t="s">
        <v>30</v>
      </c>
      <c r="J22" s="15">
        <v>7</v>
      </c>
      <c r="K22" s="13">
        <f t="shared" si="0"/>
        <v>35</v>
      </c>
      <c r="L22" s="58" t="s">
        <v>26</v>
      </c>
      <c r="M22" s="43">
        <v>3.52</v>
      </c>
      <c r="N22" s="44">
        <f t="shared" si="1"/>
        <v>24.64</v>
      </c>
      <c r="O22" s="44">
        <v>3.424</v>
      </c>
      <c r="P22" s="44">
        <f t="shared" si="2"/>
        <v>119.84</v>
      </c>
      <c r="Q22" s="66" t="s">
        <v>132</v>
      </c>
      <c r="R22" s="68"/>
      <c r="S22" s="34"/>
      <c r="T22" s="34"/>
    </row>
    <row r="23" spans="1:20">
      <c r="A23" s="5">
        <f t="shared" si="3"/>
        <v>21</v>
      </c>
      <c r="B23" s="16"/>
      <c r="C23" s="17" t="s">
        <v>133</v>
      </c>
      <c r="D23" s="18" t="s">
        <v>134</v>
      </c>
      <c r="E23" s="18" t="s">
        <v>135</v>
      </c>
      <c r="F23" s="18" t="s">
        <v>136</v>
      </c>
      <c r="G23" s="20" t="s">
        <v>131</v>
      </c>
      <c r="H23" s="76" t="s">
        <v>30</v>
      </c>
      <c r="I23" s="76" t="s">
        <v>30</v>
      </c>
      <c r="J23" s="20">
        <v>5</v>
      </c>
      <c r="K23" s="18">
        <f t="shared" si="0"/>
        <v>25</v>
      </c>
      <c r="L23" s="45" t="s">
        <v>26</v>
      </c>
      <c r="M23" s="46">
        <v>2.21</v>
      </c>
      <c r="N23" s="47">
        <f t="shared" si="1"/>
        <v>11.05</v>
      </c>
      <c r="O23" s="47">
        <v>2.112</v>
      </c>
      <c r="P23" s="47">
        <f t="shared" si="2"/>
        <v>52.8</v>
      </c>
      <c r="Q23" s="67"/>
      <c r="R23" s="68"/>
      <c r="S23" s="34"/>
      <c r="T23" s="34"/>
    </row>
    <row r="24" customHeight="1" spans="1:20">
      <c r="A24" s="5">
        <f t="shared" si="3"/>
        <v>22</v>
      </c>
      <c r="B24" s="23" t="s">
        <v>137</v>
      </c>
      <c r="C24" s="24" t="s">
        <v>138</v>
      </c>
      <c r="D24" s="25" t="s">
        <v>139</v>
      </c>
      <c r="E24" s="83" t="s">
        <v>30</v>
      </c>
      <c r="F24" s="83" t="s">
        <v>30</v>
      </c>
      <c r="G24" s="78" t="s">
        <v>30</v>
      </c>
      <c r="H24" s="78" t="s">
        <v>30</v>
      </c>
      <c r="I24" s="78" t="s">
        <v>30</v>
      </c>
      <c r="J24" s="78" t="s">
        <v>30</v>
      </c>
      <c r="K24" s="83" t="s">
        <v>30</v>
      </c>
      <c r="L24" s="48" t="s">
        <v>140</v>
      </c>
      <c r="M24" s="78" t="s">
        <v>30</v>
      </c>
      <c r="N24" s="83" t="s">
        <v>30</v>
      </c>
      <c r="O24" s="83" t="s">
        <v>30</v>
      </c>
      <c r="P24" s="83" t="s">
        <v>30</v>
      </c>
      <c r="Q24" s="84" t="s">
        <v>30</v>
      </c>
      <c r="R24" s="68"/>
      <c r="S24" s="34"/>
      <c r="T24" s="34"/>
    </row>
    <row r="25" ht="18" customHeight="1" spans="1:20">
      <c r="A25" s="34"/>
      <c r="B25" s="34"/>
      <c r="C25" t="s">
        <v>141</v>
      </c>
      <c r="D25" s="34"/>
      <c r="E25" s="34"/>
      <c r="F25" s="34"/>
      <c r="G25" s="34"/>
      <c r="H25" s="34"/>
      <c r="I25" s="34"/>
      <c r="J25" s="59" t="s">
        <v>142</v>
      </c>
      <c r="K25" s="59"/>
      <c r="L25" s="59"/>
      <c r="M25" s="59"/>
      <c r="N25" s="60">
        <f>SUM(N3:N23)</f>
        <v>49.27</v>
      </c>
      <c r="O25" s="34"/>
      <c r="P25" s="60">
        <f>SUM(P3:P23)</f>
        <v>233.62</v>
      </c>
      <c r="Q25" s="65"/>
      <c r="S25" s="34"/>
      <c r="T25" s="34"/>
    </row>
    <row r="26" ht="14" customHeight="1" spans="2:16">
      <c r="B26">
        <v>1</v>
      </c>
      <c r="C26" s="35" t="s">
        <v>143</v>
      </c>
      <c r="J26" s="61" t="s">
        <v>144</v>
      </c>
      <c r="K26" s="61"/>
      <c r="L26" s="61"/>
      <c r="M26" s="61"/>
      <c r="P26" s="62">
        <f>P25/5</f>
        <v>46.724</v>
      </c>
    </row>
    <row r="27" spans="3:3">
      <c r="C27" s="36" t="s">
        <v>91</v>
      </c>
    </row>
    <row r="30" hidden="1" spans="3:3">
      <c r="C30" s="37"/>
    </row>
  </sheetData>
  <mergeCells count="9">
    <mergeCell ref="A1:Q1"/>
    <mergeCell ref="J25:M25"/>
    <mergeCell ref="J26:M26"/>
    <mergeCell ref="B3:B5"/>
    <mergeCell ref="B6:B11"/>
    <mergeCell ref="B12:B13"/>
    <mergeCell ref="B15:B16"/>
    <mergeCell ref="B18:B20"/>
    <mergeCell ref="B21:B23"/>
  </mergeCells>
  <conditionalFormatting sqref="N3:N2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{54e1a58a-e616-4df8-abce-d3897a964622}</x14:id>
        </ext>
      </extLst>
    </cfRule>
  </conditionalFormatting>
  <conditionalFormatting sqref="P3:P2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{2a943809-f103-4c74-8138-e2aade31d277}</x14:id>
        </ext>
      </extLst>
    </cfRule>
  </conditionalFormatting>
  <conditionalFormatting sqref="J3:K2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5:P2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{969b6976-d947-4cc1-a044-a22e0569acf8}</x14:id>
        </ext>
      </extLst>
    </cfRule>
  </conditionalFormatting>
  <hyperlinks>
    <hyperlink ref="L23" r:id="rId1" display="Digikey"/>
    <hyperlink ref="L22" r:id="rId2" display="Digikey"/>
    <hyperlink ref="L21" r:id="rId3" display="Digikey"/>
    <hyperlink ref="L14" r:id="rId4" display="Digikey"/>
    <hyperlink ref="L12" r:id="rId5" display="Digikey"/>
    <hyperlink ref="L10" r:id="rId6" display="Digikey"/>
    <hyperlink ref="L9" r:id="rId7" display="Digikey"/>
    <hyperlink ref="L8" r:id="rId8" display="Digikey"/>
    <hyperlink ref="L7" r:id="rId9" display="Digikey"/>
    <hyperlink ref="L6" r:id="rId10" display="Digikey"/>
    <hyperlink ref="L5" r:id="rId11" display="Digikey"/>
    <hyperlink ref="L4" r:id="rId12" display="Digikey"/>
    <hyperlink ref="L17" r:id="rId13" display="Digikey"/>
    <hyperlink ref="L19" r:id="rId14" display="Digikey"/>
    <hyperlink ref="L18" r:id="rId15" display="Digikey"/>
    <hyperlink ref="L13" r:id="rId16" display="Digikey"/>
    <hyperlink ref="L11" r:id="rId17" display="Digikey"/>
    <hyperlink ref="L15" r:id="rId18" display="Digikey"/>
    <hyperlink ref="L20" r:id="rId19" display="DIgikey"/>
    <hyperlink ref="L3" r:id="rId20" display="Digikey"/>
    <hyperlink ref="L24" r:id="rId21" display="Aliexpress"/>
    <hyperlink ref="C27" r:id="rId22" display="Songle relay"/>
  </hyperlinks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e1a58a-e616-4df8-abce-d3897a9646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N3:N23</xm:sqref>
        </x14:conditionalFormatting>
        <x14:conditionalFormatting xmlns:xm="http://schemas.microsoft.com/office/excel/2006/main">
          <x14:cfRule type="dataBar" id="{2a943809-f103-4c74-8138-e2aade31d2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P3:P23</xm:sqref>
        </x14:conditionalFormatting>
        <x14:conditionalFormatting xmlns:xm="http://schemas.microsoft.com/office/excel/2006/main">
          <x14:cfRule type="dataBar" id="{969b6976-d947-4cc1-a044-a22e0569acf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N25:P26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texon</dc:creator>
  <cp:lastModifiedBy>texon</cp:lastModifiedBy>
  <dcterms:created xsi:type="dcterms:W3CDTF">2022-02-16T11:58:00Z</dcterms:created>
  <dcterms:modified xsi:type="dcterms:W3CDTF">2022-02-17T07:11:19Z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BB7F3A8A9BC44A6D8B79C1698F91FBFC</vt:lpwstr>
  </property>
  <property fmtid="{D5CDD505-2E9C-101B-9397-08002B2CF9AE}" pid="3" name="KSOProductBuildVer">
    <vt:lpwstr>1033-11.2.0.10463</vt:lpwstr>
  </property>
</Properties>
</file>